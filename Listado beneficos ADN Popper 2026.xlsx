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qnap\rrhh\Organización, Beneficios y Estructura\Beneficios\2026\"/>
    </mc:Choice>
  </mc:AlternateContent>
  <xr:revisionPtr revIDLastSave="0" documentId="13_ncr:1_{5396EB29-5CE8-434B-B002-FA10C756D153}" xr6:coauthVersionLast="47" xr6:coauthVersionMax="47" xr10:uidLastSave="{00000000-0000-0000-0000-000000000000}"/>
  <bookViews>
    <workbookView xWindow="-120" yWindow="-120" windowWidth="29040" windowHeight="15720" xr2:uid="{221CD9A7-2A9A-4649-89DD-723CA215000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1" l="1"/>
  <c r="O11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2" i="1"/>
  <c r="O2" i="1" s="1"/>
</calcChain>
</file>

<file path=xl/sharedStrings.xml><?xml version="1.0" encoding="utf-8"?>
<sst xmlns="http://schemas.openxmlformats.org/spreadsheetml/2006/main" count="104" uniqueCount="79">
  <si>
    <t>N°</t>
  </si>
  <si>
    <t>DESCRIPCION DEL DESCUENTO</t>
  </si>
  <si>
    <t>COMERCIO ADHERIDO</t>
  </si>
  <si>
    <t>RESPONSABLE DEL COMERCIO</t>
  </si>
  <si>
    <t>D ´Angelo, Carlos Gustavo</t>
  </si>
  <si>
    <t>Magallanes N° 1055</t>
  </si>
  <si>
    <t>30-61051920-9</t>
  </si>
  <si>
    <t>CORREO DE CONTACTO</t>
  </si>
  <si>
    <t>tiresrgsur@gmail.com</t>
  </si>
  <si>
    <t>Jimenez Martin</t>
  </si>
  <si>
    <t>DNI</t>
  </si>
  <si>
    <t>DOMICILIO DE COMERCIO</t>
  </si>
  <si>
    <t>Fuegia Basket N° 580</t>
  </si>
  <si>
    <t>Petronio Sergio</t>
  </si>
  <si>
    <t>petronio1982@gmail.com</t>
  </si>
  <si>
    <t xml:space="preserve"> 2901 50-1062</t>
  </si>
  <si>
    <r>
      <t>30-70801763-5</t>
    </r>
    <r>
      <rPr>
        <sz val="11"/>
        <color rgb="FF6C6C6C"/>
        <rFont val="Arial"/>
        <family val="2"/>
      </rPr>
      <t> </t>
    </r>
  </si>
  <si>
    <t>2901 51-4076</t>
  </si>
  <si>
    <t xml:space="preserve"> 2901 62-7271</t>
  </si>
  <si>
    <t>CUIT / CUIL</t>
  </si>
  <si>
    <t>Virrey Liniers N°54</t>
  </si>
  <si>
    <t>Guerrero Samanta</t>
  </si>
  <si>
    <t>2964 69 - 5299</t>
  </si>
  <si>
    <t>smt.socialmedias@mail.com</t>
  </si>
  <si>
    <t>Obligado 1236</t>
  </si>
  <si>
    <t>Falvia Araceli Sánchez Dominiconi</t>
  </si>
  <si>
    <t>2964 51- 3883</t>
  </si>
  <si>
    <t>Eurekaushuaia@gmail.com</t>
  </si>
  <si>
    <t>Lauravvalle@gmail.com</t>
  </si>
  <si>
    <t>Lobos, Jorge</t>
  </si>
  <si>
    <t xml:space="preserve">Don bosco y Campos </t>
  </si>
  <si>
    <t>Arturo Coronado N° 418</t>
  </si>
  <si>
    <t>2901 64-7748</t>
  </si>
  <si>
    <t>Gaston Zarlenga</t>
  </si>
  <si>
    <t>11 - 6766-6784</t>
  </si>
  <si>
    <t xml:space="preserve">15 % (pago en efectivo) </t>
  </si>
  <si>
    <t>CITY</t>
  </si>
  <si>
    <t>CELULAR DE CONTACTO</t>
  </si>
  <si>
    <t>DESCRIPCION DEL DESCUENTO 1</t>
  </si>
  <si>
    <t>25 de Mayo 231</t>
  </si>
  <si>
    <t>Tolhuin 138</t>
  </si>
  <si>
    <t>concentrador@farmaciasalk.com; martin.jimenez@farmaciasalk.com.ar</t>
  </si>
  <si>
    <t>FARMACIA SALK</t>
  </si>
  <si>
    <t>GIMNASIO ESPACIO PULSE</t>
  </si>
  <si>
    <t>NEUMATICOS RÍO GARNDE SUR</t>
  </si>
  <si>
    <t>PLENA ESTUDIO</t>
  </si>
  <si>
    <t>EUREKA</t>
  </si>
  <si>
    <t>AROMAS</t>
  </si>
  <si>
    <t>CENTRAL MARKET USHUAIA</t>
  </si>
  <si>
    <t xml:space="preserve"> y pagando con tarjeta de credito Visa o Mastercard, 6 cuotas sin interes o 3 pagos sin interes con un 5% de descuento</t>
  </si>
  <si>
    <t xml:space="preserve">y  5 %  (Tarjeta de crédito, débito o QR) </t>
  </si>
  <si>
    <t xml:space="preserve">10 %  (efectivo y/o  transferencia)  </t>
  </si>
  <si>
    <t>FECHA DE INICIO</t>
  </si>
  <si>
    <t xml:space="preserve">FECHA DE FIN CONVECIO </t>
  </si>
  <si>
    <t>CONVENIO  ()</t>
  </si>
  <si>
    <t>flaviasandominiconi@gmail.com</t>
  </si>
  <si>
    <t>CONTADOR</t>
  </si>
  <si>
    <t>Av. Malvinas N° 212</t>
  </si>
  <si>
    <t>LUGAR DE BENEFICIO</t>
  </si>
  <si>
    <t>USHUAIA - RIO GRANDE</t>
  </si>
  <si>
    <t>USHUAIA</t>
  </si>
  <si>
    <t>RIO GRANDE</t>
  </si>
  <si>
    <t>TALLER TEXTIL</t>
  </si>
  <si>
    <t>15% de descuento (1 prenda)</t>
  </si>
  <si>
    <t>20 % (Más de 3 prendas)</t>
  </si>
  <si>
    <t>2901 50-8017</t>
  </si>
  <si>
    <t>Canga 1721</t>
  </si>
  <si>
    <t>Monzon Raúl</t>
  </si>
  <si>
    <t xml:space="preserve">monzon769@hotmail.com </t>
  </si>
  <si>
    <t>10% (Kinesiología, masajes deportivos y descontracturantes, estudio de pisada para plantillas personalizada y estudios de medición de fuerza)</t>
  </si>
  <si>
    <t xml:space="preserve">San Martín 1507, Piso 1, Oficina 104 </t>
  </si>
  <si>
    <t xml:space="preserve">Naselli, Dalmiro Nicolás  </t>
  </si>
  <si>
    <t xml:space="preserve"> 2901-640666</t>
  </si>
  <si>
    <t xml:space="preserve"> core.rehabilitacion.ushuaia@gmail.com</t>
  </si>
  <si>
    <t>CORE REHABILITACION</t>
  </si>
  <si>
    <t>FLAVIA HAIR CENTER</t>
  </si>
  <si>
    <t>LA MORADA BURGERS</t>
  </si>
  <si>
    <t>administracion@centralmarketushuaia.com.ar</t>
  </si>
  <si>
    <t>info@lamoradaburgers.com.ar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</si>
</sst>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&quot;MESES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C6C6C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#\ &quot;MESES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1C08A-A211-4EE9-8E9B-6AB8A2729766}" name="Tabla1" displayName="Tabla1" ref="A1:P12" totalsRowShown="0" headerRowDxfId="17" dataDxfId="16" tableBorderDxfId="15">
  <autoFilter ref="A1:P12" xr:uid="{C2E1C08A-A211-4EE9-8E9B-6AB8A2729766}"/>
  <tableColumns count="16">
    <tableColumn id="1" xr3:uid="{73EDD110-9A07-4CA8-A9A8-4958B5C0D18F}" name="N°" dataDxfId="14"/>
    <tableColumn id="2" xr3:uid="{7487F571-7C1B-437F-9B34-1DF4A2328E9D}" name="COMERCIO ADHERIDO" dataDxfId="13"/>
    <tableColumn id="3" xr3:uid="{26C62F16-EF06-4A0F-98A4-67620696B61F}" name="CUIT / CUIL" dataDxfId="12"/>
    <tableColumn id="4" xr3:uid="{8B1EACC3-8A53-49D7-8F7C-94882AFBE164}" name="DOMICILIO DE COMERCIO" dataDxfId="11"/>
    <tableColumn id="5" xr3:uid="{BAC83112-1195-4976-AAEC-07C38FD7116E}" name="RESPONSABLE DEL COMERCIO" dataDxfId="10"/>
    <tableColumn id="6" xr3:uid="{E4A9F58F-4857-4450-B958-2DF864A2AF36}" name="DNI" dataDxfId="9"/>
    <tableColumn id="7" xr3:uid="{4E6A6329-1CA8-4D50-A8C2-3FE966D77DC4}" name="CELULAR DE CONTACTO" dataDxfId="8"/>
    <tableColumn id="8" xr3:uid="{545BF9F8-622A-4A12-9CC1-D326CB9E110B}" name="DESCRIPCION DEL DESCUENTO"/>
    <tableColumn id="9" xr3:uid="{99CCBE4A-2B50-4A93-9EBB-AE4C75C28C44}" name="DESCRIPCION DEL DESCUENTO 1" dataDxfId="7"/>
    <tableColumn id="10" xr3:uid="{70DEFE27-60A5-4A54-8E07-2D393703831E}" name="CITY" dataDxfId="6"/>
    <tableColumn id="11" xr3:uid="{39BA8180-97C7-470B-8657-269A7EDE0209}" name="CORREO DE CONTACTO" dataDxfId="5" dataCellStyle="Hipervínculo"/>
    <tableColumn id="12" xr3:uid="{96ED5329-80D7-4488-9268-01918C7D488B}" name="CONVENIO  ()" dataDxfId="4"/>
    <tableColumn id="13" xr3:uid="{25C1EBF2-A515-4403-954E-C84D0DC2CB31}" name="FECHA DE INICIO" dataDxfId="3"/>
    <tableColumn id="14" xr3:uid="{BF32876B-1B68-4B1D-ACDC-7F596825E8DC}" name="FECHA DE FIN CONVECIO " dataDxfId="2"/>
    <tableColumn id="15" xr3:uid="{9049E2A0-3E79-47F8-BA7D-5D8D82D98D26}" name="CONTADOR" dataDxfId="1"/>
    <tableColumn id="16" xr3:uid="{D5131FBE-355D-480C-8EF1-16997C0AE913}" name="LUGAR DE BENEFICI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uravvalle@gmail.com" TargetMode="External"/><Relationship Id="rId3" Type="http://schemas.openxmlformats.org/officeDocument/2006/relationships/hyperlink" Target="mailto:info@lamoradaburgers.com.ar" TargetMode="External"/><Relationship Id="rId7" Type="http://schemas.openxmlformats.org/officeDocument/2006/relationships/hyperlink" Target="mailto:Eurekaushuaia@gmail.com" TargetMode="External"/><Relationship Id="rId2" Type="http://schemas.openxmlformats.org/officeDocument/2006/relationships/hyperlink" Target="mailto:smt.socialmedias@mail.com" TargetMode="External"/><Relationship Id="rId1" Type="http://schemas.openxmlformats.org/officeDocument/2006/relationships/hyperlink" Target="mailto:petronio1982@gmail.com" TargetMode="External"/><Relationship Id="rId6" Type="http://schemas.openxmlformats.org/officeDocument/2006/relationships/hyperlink" Target="mailto:tiresrgsur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flaviasandominiconi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dministracion@centralmarketushuaia.com.ar" TargetMode="External"/><Relationship Id="rId9" Type="http://schemas.openxmlformats.org/officeDocument/2006/relationships/hyperlink" Target="mailto:monzon769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3717-40BA-430D-A862-9505A11AC191}">
  <dimension ref="A1:P12"/>
  <sheetViews>
    <sheetView showGridLines="0" tabSelected="1" zoomScaleNormal="100" workbookViewId="0">
      <pane xSplit="2" ySplit="1" topLeftCell="E2" activePane="bottomRight" state="frozen"/>
      <selection pane="topRight" activeCell="D1" sqref="D1"/>
      <selection pane="bottomLeft" activeCell="A2" sqref="A2"/>
      <selection pane="bottomRight" activeCell="K12" sqref="K12"/>
    </sheetView>
  </sheetViews>
  <sheetFormatPr baseColWidth="10" defaultRowHeight="15" x14ac:dyDescent="0.25"/>
  <cols>
    <col min="1" max="1" width="5.42578125" style="1" customWidth="1"/>
    <col min="2" max="2" width="28.85546875" style="1" customWidth="1"/>
    <col min="3" max="3" width="14.5703125" style="1" customWidth="1"/>
    <col min="4" max="4" width="27.7109375" style="1" customWidth="1"/>
    <col min="5" max="5" width="32.28515625" style="1" customWidth="1"/>
    <col min="6" max="6" width="12" style="1" customWidth="1"/>
    <col min="7" max="7" width="26" style="1" customWidth="1"/>
    <col min="8" max="8" width="35.140625" style="1" customWidth="1"/>
    <col min="9" max="9" width="43.28515625" style="1" customWidth="1"/>
    <col min="10" max="10" width="12" style="1" bestFit="1" customWidth="1"/>
    <col min="11" max="11" width="64.5703125" style="1" customWidth="1"/>
    <col min="12" max="12" width="16.140625" style="1" customWidth="1"/>
    <col min="13" max="13" width="19" style="1" customWidth="1"/>
    <col min="14" max="14" width="25.28515625" style="1" customWidth="1"/>
    <col min="15" max="15" width="14.28515625" style="8" customWidth="1"/>
    <col min="16" max="16" width="23.42578125" style="8" customWidth="1"/>
  </cols>
  <sheetData>
    <row r="1" spans="1:16" ht="43.5" customHeight="1" x14ac:dyDescent="0.25">
      <c r="A1" s="22" t="s">
        <v>0</v>
      </c>
      <c r="B1" s="2" t="s">
        <v>2</v>
      </c>
      <c r="C1" s="2" t="s">
        <v>19</v>
      </c>
      <c r="D1" s="2" t="s">
        <v>11</v>
      </c>
      <c r="E1" s="2" t="s">
        <v>3</v>
      </c>
      <c r="F1" s="2" t="s">
        <v>10</v>
      </c>
      <c r="G1" s="2" t="s">
        <v>37</v>
      </c>
      <c r="H1" s="2" t="s">
        <v>1</v>
      </c>
      <c r="I1" s="2" t="s">
        <v>38</v>
      </c>
      <c r="J1" s="2" t="s">
        <v>36</v>
      </c>
      <c r="K1" s="2" t="s">
        <v>7</v>
      </c>
      <c r="L1" s="2" t="s">
        <v>54</v>
      </c>
      <c r="M1" s="2" t="s">
        <v>52</v>
      </c>
      <c r="N1" s="10" t="s">
        <v>53</v>
      </c>
      <c r="O1" s="2" t="s">
        <v>56</v>
      </c>
      <c r="P1" s="11" t="s">
        <v>58</v>
      </c>
    </row>
    <row r="2" spans="1:16" ht="15.75" thickBot="1" x14ac:dyDescent="0.3">
      <c r="A2" s="23">
        <v>1</v>
      </c>
      <c r="B2" s="5" t="s">
        <v>42</v>
      </c>
      <c r="C2" s="3" t="s">
        <v>16</v>
      </c>
      <c r="D2" s="3" t="s">
        <v>57</v>
      </c>
      <c r="E2" s="3" t="s">
        <v>9</v>
      </c>
      <c r="F2" s="12">
        <v>22626920</v>
      </c>
      <c r="G2" s="3" t="s">
        <v>17</v>
      </c>
      <c r="H2" s="13">
        <v>0.1</v>
      </c>
      <c r="I2" s="3"/>
      <c r="J2" s="3" t="s">
        <v>60</v>
      </c>
      <c r="K2" s="4" t="s">
        <v>41</v>
      </c>
      <c r="L2" s="14">
        <v>12</v>
      </c>
      <c r="M2" s="15">
        <v>46160</v>
      </c>
      <c r="N2" s="15">
        <f>M2+(L2*30)</f>
        <v>46520</v>
      </c>
      <c r="O2" s="16">
        <f ca="1">+N2-TODAY()</f>
        <v>357</v>
      </c>
      <c r="P2" s="17" t="s">
        <v>59</v>
      </c>
    </row>
    <row r="3" spans="1:16" ht="15.75" thickBot="1" x14ac:dyDescent="0.3">
      <c r="A3" s="23">
        <v>2</v>
      </c>
      <c r="B3" s="6" t="s">
        <v>43</v>
      </c>
      <c r="C3" s="12">
        <v>16060462</v>
      </c>
      <c r="D3" s="3" t="s">
        <v>12</v>
      </c>
      <c r="E3" s="3" t="s">
        <v>13</v>
      </c>
      <c r="F3" s="12">
        <v>16060462</v>
      </c>
      <c r="G3" s="3" t="s">
        <v>15</v>
      </c>
      <c r="H3" s="13">
        <v>0.05</v>
      </c>
      <c r="I3" s="3"/>
      <c r="J3" s="3" t="s">
        <v>60</v>
      </c>
      <c r="K3" s="4" t="s">
        <v>14</v>
      </c>
      <c r="L3" s="14">
        <v>12</v>
      </c>
      <c r="M3" s="15">
        <v>46160</v>
      </c>
      <c r="N3" s="15">
        <f t="shared" ref="N3:N11" si="0">M3+(L3*30)</f>
        <v>46520</v>
      </c>
      <c r="O3" s="16">
        <f t="shared" ref="O3:O11" ca="1" si="1">+N3-TODAY()</f>
        <v>357</v>
      </c>
      <c r="P3" s="3" t="s">
        <v>60</v>
      </c>
    </row>
    <row r="4" spans="1:16" s="8" customFormat="1" ht="45.75" thickBot="1" x14ac:dyDescent="0.3">
      <c r="A4" s="23">
        <v>3</v>
      </c>
      <c r="B4" s="9" t="s">
        <v>44</v>
      </c>
      <c r="C4" s="3" t="s">
        <v>6</v>
      </c>
      <c r="D4" s="3" t="s">
        <v>5</v>
      </c>
      <c r="E4" s="3" t="s">
        <v>4</v>
      </c>
      <c r="F4" s="12">
        <v>21703224</v>
      </c>
      <c r="G4" s="3" t="s">
        <v>18</v>
      </c>
      <c r="H4" s="3" t="s">
        <v>35</v>
      </c>
      <c r="I4" s="18" t="s">
        <v>49</v>
      </c>
      <c r="J4" s="3" t="s">
        <v>60</v>
      </c>
      <c r="K4" s="4" t="s">
        <v>8</v>
      </c>
      <c r="L4" s="14">
        <v>1</v>
      </c>
      <c r="M4" s="15">
        <v>46160</v>
      </c>
      <c r="N4" s="15">
        <f t="shared" si="0"/>
        <v>46190</v>
      </c>
      <c r="O4" s="16">
        <f t="shared" ca="1" si="1"/>
        <v>27</v>
      </c>
      <c r="P4" s="3" t="s">
        <v>60</v>
      </c>
    </row>
    <row r="5" spans="1:16" ht="15.75" thickBot="1" x14ac:dyDescent="0.3">
      <c r="A5" s="23">
        <v>4</v>
      </c>
      <c r="B5" s="7" t="s">
        <v>45</v>
      </c>
      <c r="C5" s="12">
        <v>32768750</v>
      </c>
      <c r="D5" s="3" t="s">
        <v>20</v>
      </c>
      <c r="E5" s="3" t="s">
        <v>21</v>
      </c>
      <c r="F5" s="12">
        <v>32768750</v>
      </c>
      <c r="G5" s="3" t="s">
        <v>22</v>
      </c>
      <c r="H5" s="13">
        <v>0.1</v>
      </c>
      <c r="I5" s="3"/>
      <c r="J5" s="3" t="s">
        <v>61</v>
      </c>
      <c r="K5" s="4" t="s">
        <v>23</v>
      </c>
      <c r="L5" s="14">
        <v>6</v>
      </c>
      <c r="M5" s="15">
        <v>46160</v>
      </c>
      <c r="N5" s="15">
        <f t="shared" si="0"/>
        <v>46340</v>
      </c>
      <c r="O5" s="16">
        <f t="shared" ca="1" si="1"/>
        <v>177</v>
      </c>
      <c r="P5" s="3" t="s">
        <v>61</v>
      </c>
    </row>
    <row r="6" spans="1:16" ht="15.75" thickBot="1" x14ac:dyDescent="0.3">
      <c r="A6" s="23">
        <v>6</v>
      </c>
      <c r="B6" s="7" t="s">
        <v>75</v>
      </c>
      <c r="C6" s="12">
        <v>30901496</v>
      </c>
      <c r="D6" s="3" t="s">
        <v>24</v>
      </c>
      <c r="E6" s="3" t="s">
        <v>25</v>
      </c>
      <c r="F6" s="12">
        <v>30901496</v>
      </c>
      <c r="G6" s="3" t="s">
        <v>26</v>
      </c>
      <c r="H6" s="13">
        <v>0.1</v>
      </c>
      <c r="I6" s="3"/>
      <c r="J6" s="3" t="s">
        <v>61</v>
      </c>
      <c r="K6" s="4" t="s">
        <v>55</v>
      </c>
      <c r="L6" s="14">
        <v>6</v>
      </c>
      <c r="M6" s="15">
        <v>46160</v>
      </c>
      <c r="N6" s="15">
        <f t="shared" si="0"/>
        <v>46340</v>
      </c>
      <c r="O6" s="16">
        <f t="shared" ca="1" si="1"/>
        <v>177</v>
      </c>
      <c r="P6" s="3" t="s">
        <v>61</v>
      </c>
    </row>
    <row r="7" spans="1:16" ht="15" customHeight="1" thickBot="1" x14ac:dyDescent="0.3">
      <c r="A7" s="23">
        <v>7</v>
      </c>
      <c r="B7" s="7" t="s">
        <v>46</v>
      </c>
      <c r="C7" s="12">
        <v>18830736</v>
      </c>
      <c r="D7" s="3" t="s">
        <v>30</v>
      </c>
      <c r="E7" s="19" t="s">
        <v>29</v>
      </c>
      <c r="F7" s="12">
        <v>18830736</v>
      </c>
      <c r="G7" s="20" t="s">
        <v>32</v>
      </c>
      <c r="H7" s="19" t="s">
        <v>51</v>
      </c>
      <c r="I7" s="19" t="s">
        <v>50</v>
      </c>
      <c r="J7" s="3" t="s">
        <v>60</v>
      </c>
      <c r="K7" s="4" t="s">
        <v>27</v>
      </c>
      <c r="L7" s="14">
        <v>12</v>
      </c>
      <c r="M7" s="15">
        <v>46160</v>
      </c>
      <c r="N7" s="15">
        <f t="shared" si="0"/>
        <v>46520</v>
      </c>
      <c r="O7" s="16">
        <f t="shared" ca="1" si="1"/>
        <v>357</v>
      </c>
      <c r="P7" s="3" t="s">
        <v>60</v>
      </c>
    </row>
    <row r="8" spans="1:16" ht="15.75" thickBot="1" x14ac:dyDescent="0.3">
      <c r="A8" s="23">
        <v>8</v>
      </c>
      <c r="B8" s="7" t="s">
        <v>47</v>
      </c>
      <c r="C8" s="12">
        <v>18830736</v>
      </c>
      <c r="D8" s="3" t="s">
        <v>31</v>
      </c>
      <c r="E8" s="19" t="s">
        <v>29</v>
      </c>
      <c r="F8" s="12">
        <v>18830736</v>
      </c>
      <c r="G8" s="20" t="s">
        <v>32</v>
      </c>
      <c r="H8" s="19" t="s">
        <v>51</v>
      </c>
      <c r="I8" s="19" t="s">
        <v>50</v>
      </c>
      <c r="J8" s="3" t="s">
        <v>60</v>
      </c>
      <c r="K8" s="4" t="s">
        <v>28</v>
      </c>
      <c r="L8" s="14">
        <v>12</v>
      </c>
      <c r="M8" s="15">
        <v>46160</v>
      </c>
      <c r="N8" s="15">
        <f t="shared" si="0"/>
        <v>46520</v>
      </c>
      <c r="O8" s="16">
        <f t="shared" ca="1" si="1"/>
        <v>357</v>
      </c>
      <c r="P8" s="3" t="s">
        <v>60</v>
      </c>
    </row>
    <row r="9" spans="1:16" ht="15.75" thickBot="1" x14ac:dyDescent="0.3">
      <c r="A9" s="23">
        <v>9</v>
      </c>
      <c r="B9" s="7" t="s">
        <v>76</v>
      </c>
      <c r="C9" s="12">
        <v>28509819</v>
      </c>
      <c r="D9" s="3" t="s">
        <v>40</v>
      </c>
      <c r="E9" s="3" t="s">
        <v>33</v>
      </c>
      <c r="F9" s="12">
        <v>28509819</v>
      </c>
      <c r="G9" s="3" t="s">
        <v>34</v>
      </c>
      <c r="H9" s="13">
        <v>0.1</v>
      </c>
      <c r="I9" s="19"/>
      <c r="J9" s="3" t="s">
        <v>60</v>
      </c>
      <c r="K9" s="4" t="s">
        <v>78</v>
      </c>
      <c r="L9" s="14">
        <v>6</v>
      </c>
      <c r="M9" s="15">
        <v>46160</v>
      </c>
      <c r="N9" s="15">
        <f t="shared" si="0"/>
        <v>46340</v>
      </c>
      <c r="O9" s="16">
        <f t="shared" ca="1" si="1"/>
        <v>177</v>
      </c>
      <c r="P9" s="3" t="s">
        <v>60</v>
      </c>
    </row>
    <row r="10" spans="1:16" ht="15.75" thickBot="1" x14ac:dyDescent="0.3">
      <c r="A10" s="23">
        <v>10</v>
      </c>
      <c r="B10" s="7" t="s">
        <v>48</v>
      </c>
      <c r="C10" s="12">
        <v>28509819</v>
      </c>
      <c r="D10" s="3" t="s">
        <v>39</v>
      </c>
      <c r="E10" s="3" t="s">
        <v>33</v>
      </c>
      <c r="F10" s="12">
        <v>28509819</v>
      </c>
      <c r="G10" s="3" t="s">
        <v>34</v>
      </c>
      <c r="H10" s="13">
        <v>0.1</v>
      </c>
      <c r="I10" s="3"/>
      <c r="J10" s="3" t="s">
        <v>60</v>
      </c>
      <c r="K10" s="4" t="s">
        <v>77</v>
      </c>
      <c r="L10" s="14">
        <v>6</v>
      </c>
      <c r="M10" s="15">
        <v>46160</v>
      </c>
      <c r="N10" s="15">
        <f t="shared" si="0"/>
        <v>46340</v>
      </c>
      <c r="O10" s="16">
        <f t="shared" ca="1" si="1"/>
        <v>177</v>
      </c>
      <c r="P10" s="3" t="s">
        <v>60</v>
      </c>
    </row>
    <row r="11" spans="1:16" x14ac:dyDescent="0.25">
      <c r="A11" s="23">
        <v>11</v>
      </c>
      <c r="B11" s="5" t="s">
        <v>62</v>
      </c>
      <c r="C11" s="12">
        <v>33494010</v>
      </c>
      <c r="D11" s="3" t="s">
        <v>66</v>
      </c>
      <c r="E11" s="1" t="s">
        <v>67</v>
      </c>
      <c r="F11" s="12">
        <v>33494010</v>
      </c>
      <c r="G11" s="3" t="s">
        <v>65</v>
      </c>
      <c r="H11" s="3" t="s">
        <v>63</v>
      </c>
      <c r="I11" s="3" t="s">
        <v>64</v>
      </c>
      <c r="J11" s="3" t="s">
        <v>60</v>
      </c>
      <c r="K11" s="4" t="s">
        <v>68</v>
      </c>
      <c r="L11" s="14">
        <v>6</v>
      </c>
      <c r="M11" s="15">
        <v>46160</v>
      </c>
      <c r="N11" s="15">
        <f t="shared" si="0"/>
        <v>46340</v>
      </c>
      <c r="O11" s="16">
        <f t="shared" ca="1" si="1"/>
        <v>177</v>
      </c>
      <c r="P11" s="3" t="s">
        <v>60</v>
      </c>
    </row>
    <row r="12" spans="1:16" ht="72" customHeight="1" x14ac:dyDescent="0.25">
      <c r="A12" s="23">
        <v>12</v>
      </c>
      <c r="B12" s="5" t="s">
        <v>74</v>
      </c>
      <c r="C12" s="3">
        <v>32131178</v>
      </c>
      <c r="D12" s="3" t="s">
        <v>70</v>
      </c>
      <c r="E12" s="3" t="s">
        <v>71</v>
      </c>
      <c r="F12" s="12">
        <v>32131178</v>
      </c>
      <c r="G12" s="3" t="s">
        <v>72</v>
      </c>
      <c r="H12" s="21" t="s">
        <v>69</v>
      </c>
      <c r="I12" s="3"/>
      <c r="J12" s="3" t="s">
        <v>60</v>
      </c>
      <c r="K12" s="3" t="s">
        <v>73</v>
      </c>
      <c r="L12" s="3">
        <v>6</v>
      </c>
      <c r="M12" s="3">
        <v>46160</v>
      </c>
      <c r="N12" s="3">
        <v>46340</v>
      </c>
      <c r="O12" s="3">
        <v>178</v>
      </c>
      <c r="P12" s="8" t="s">
        <v>60</v>
      </c>
    </row>
  </sheetData>
  <hyperlinks>
    <hyperlink ref="K3" r:id="rId1" xr:uid="{B08632D8-E5E8-4188-99A8-0E453FC135D6}"/>
    <hyperlink ref="K5" r:id="rId2" xr:uid="{F60907A4-BD22-4640-8403-042CC4510212}"/>
    <hyperlink ref="K9" r:id="rId3" xr:uid="{4F514F25-B884-41AF-951B-5934DB43AA33}"/>
    <hyperlink ref="K10" r:id="rId4" xr:uid="{270BDDA5-4D9A-47FF-AE31-F206EDE23F4C}"/>
    <hyperlink ref="K6" r:id="rId5" xr:uid="{9A7499FB-C121-45D0-B633-E7A21960696F}"/>
    <hyperlink ref="K4" r:id="rId6" xr:uid="{D8ED678B-67B5-4864-AF9E-EB1AD4C830C7}"/>
    <hyperlink ref="K7" r:id="rId7" xr:uid="{602E84E8-4204-4D28-91FF-DD0AB058695D}"/>
    <hyperlink ref="K8" r:id="rId8" xr:uid="{DF3079A8-1825-4361-9DB4-8E55912E9CB4}"/>
    <hyperlink ref="K11" r:id="rId9" xr:uid="{A682A526-13E4-4FE1-9EF0-78C2507DF86A}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2026-05-09T12:23:37Z</dcterms:created>
  <dcterms:modified xsi:type="dcterms:W3CDTF">2026-05-21T19:14:34Z</dcterms:modified>
</cp:coreProperties>
</file>